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Backup Maycon\MAY\"/>
    </mc:Choice>
  </mc:AlternateContent>
  <xr:revisionPtr revIDLastSave="0" documentId="13_ncr:1_{2563DB79-DE85-4245-AC8D-C7B8A3DDE1B7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3" l="1"/>
  <c r="F26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<sst xmlns="http://schemas.openxmlformats.org/spreadsheetml/2006/main" count="2017" uniqueCount="319">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</sst>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4" fillId="0" borderId="2" xfId="1" applyFont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62F44AF-6FBE-4801-BA14-B106D4F7C9A4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2-4F4D-B877-482F20044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406975"/>
        <c:axId val="1142397855"/>
      </c:barChart>
      <c:catAx>
        <c:axId val="114240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2397855"/>
        <c:crosses val="autoZero"/>
        <c:auto val="1"/>
        <c:lblAlgn val="ctr"/>
        <c:lblOffset val="100"/>
        <c:noMultiLvlLbl val="0"/>
      </c:catAx>
      <c:valAx>
        <c:axId val="114239785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4240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95249</xdr:colOff>
      <xdr:row>1</xdr:row>
      <xdr:rowOff>35720</xdr:rowOff>
    </xdr:from>
    <xdr:to>
      <xdr:col>2</xdr:col>
      <xdr:colOff>404811</xdr:colOff>
      <xdr:row>2</xdr:row>
      <xdr:rowOff>142876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33BD20-4B3F-49AF-814D-3C9FB781D9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9" t="23296" r="73184" b="21962"/>
        <a:stretch>
          <a:fillRect/>
        </a:stretch>
      </xdr:blipFill>
      <xdr:spPr>
        <a:xfrm>
          <a:off x="1928812" y="428626"/>
          <a:ext cx="547687" cy="5595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78582</xdr:rowOff>
    </xdr:from>
    <xdr:to>
      <xdr:col>0</xdr:col>
      <xdr:colOff>1738312</xdr:colOff>
      <xdr:row>11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29F17930-9128-49E1-91FA-EF91BEAF61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76363"/>
              <a:ext cx="1738312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202406</xdr:colOff>
      <xdr:row>6</xdr:row>
      <xdr:rowOff>47625</xdr:rowOff>
    </xdr:from>
    <xdr:to>
      <xdr:col>8</xdr:col>
      <xdr:colOff>297656</xdr:colOff>
      <xdr:row>13</xdr:row>
      <xdr:rowOff>4762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2E31096-F44D-F39E-6333-8BFA0D1088DD}"/>
            </a:ext>
          </a:extLst>
        </xdr:cNvPr>
        <xdr:cNvGrpSpPr/>
      </xdr:nvGrpSpPr>
      <xdr:grpSpPr>
        <a:xfrm>
          <a:off x="2274094" y="1678781"/>
          <a:ext cx="3738562" cy="1445419"/>
          <a:chOff x="2274094" y="1678781"/>
          <a:chExt cx="3738562" cy="1445419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59AC572-1DE1-DEDF-9883-CC1BFAF0212B}"/>
              </a:ext>
            </a:extLst>
          </xdr:cNvPr>
          <xdr:cNvSpPr/>
        </xdr:nvSpPr>
        <xdr:spPr>
          <a:xfrm>
            <a:off x="2274094" y="1678781"/>
            <a:ext cx="3738562" cy="1416844"/>
          </a:xfrm>
          <a:prstGeom prst="roundRect">
            <a:avLst>
              <a:gd name="adj" fmla="val 322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4AA81EF-9D44-48A9-8F4E-E4490DE2836A}"/>
              </a:ext>
            </a:extLst>
          </xdr:cNvPr>
          <xdr:cNvSpPr/>
        </xdr:nvSpPr>
        <xdr:spPr>
          <a:xfrm>
            <a:off x="3476626" y="2074069"/>
            <a:ext cx="2512217" cy="8810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5D1E97A-51DA-4481-808E-94FF8ADB9F52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pPr algn="ctr"/>
              <a:t>R$ 1.350,00</a:t>
            </a:fld>
            <a:endParaRPr lang="pt-BR" sz="3600">
              <a:solidFill>
                <a:srgbClr val="2AE6B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32074AE2-F526-4D51-862D-BEA51BE5D5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4" y="1905000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0F691628-474A-4688-E647-8BCED7378FAA}"/>
              </a:ext>
            </a:extLst>
          </xdr:cNvPr>
          <xdr:cNvSpPr/>
        </xdr:nvSpPr>
        <xdr:spPr>
          <a:xfrm>
            <a:off x="2286000" y="1678782"/>
            <a:ext cx="3726656" cy="3690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EA PLAY SEASON PASS</a:t>
            </a:r>
            <a:endParaRPr lang="pt-BR" sz="1100" b="1"/>
          </a:p>
        </xdr:txBody>
      </xdr:sp>
    </xdr:grpSp>
    <xdr:clientData/>
  </xdr:twoCellAnchor>
  <xdr:twoCellAnchor>
    <xdr:from>
      <xdr:col>11</xdr:col>
      <xdr:colOff>107157</xdr:colOff>
      <xdr:row>6</xdr:row>
      <xdr:rowOff>61912</xdr:rowOff>
    </xdr:from>
    <xdr:to>
      <xdr:col>17</xdr:col>
      <xdr:colOff>369094</xdr:colOff>
      <xdr:row>12</xdr:row>
      <xdr:rowOff>180974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C4B89FC1-0CE9-2375-E034-04C6AF0A90F3}"/>
            </a:ext>
          </a:extLst>
        </xdr:cNvPr>
        <xdr:cNvGrpSpPr/>
      </xdr:nvGrpSpPr>
      <xdr:grpSpPr>
        <a:xfrm>
          <a:off x="7643813" y="1693068"/>
          <a:ext cx="3738562" cy="1416844"/>
          <a:chOff x="7274719" y="1690688"/>
          <a:chExt cx="3738562" cy="1416844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4569295-910C-40E2-83F5-241E76DEB94A}"/>
              </a:ext>
            </a:extLst>
          </xdr:cNvPr>
          <xdr:cNvGrpSpPr/>
        </xdr:nvGrpSpPr>
        <xdr:grpSpPr>
          <a:xfrm>
            <a:off x="7274719" y="1690688"/>
            <a:ext cx="3738562" cy="1416844"/>
            <a:chOff x="2274094" y="1678781"/>
            <a:chExt cx="3738562" cy="1416844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1029FAA5-CB77-F413-FE70-868A8E0C332A}"/>
                </a:ext>
              </a:extLst>
            </xdr:cNvPr>
            <xdr:cNvSpPr/>
          </xdr:nvSpPr>
          <xdr:spPr>
            <a:xfrm>
              <a:off x="2274094" y="1678781"/>
              <a:ext cx="3738562" cy="1416844"/>
            </a:xfrm>
            <a:prstGeom prst="roundRect">
              <a:avLst>
                <a:gd name="adj" fmla="val 322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2ED4888B-31BA-AFC4-1522-261F0DD3BA82}"/>
                </a:ext>
              </a:extLst>
            </xdr:cNvPr>
            <xdr:cNvSpPr/>
          </xdr:nvSpPr>
          <xdr:spPr>
            <a:xfrm>
              <a:off x="3476626" y="2074069"/>
              <a:ext cx="2512217" cy="881063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A2CBDF3-F5CC-433D-944F-693AFF8FB9CE}" type="TxLink">
                <a:rPr lang="en-US" sz="3600" b="0" i="0" u="none" strike="noStrike">
                  <a:solidFill>
                    <a:srgbClr val="2AE6B1"/>
                  </a:solidFill>
                  <a:latin typeface="Aptos Narrow"/>
                </a:rPr>
                <a:t>R$ 1.800,00</a:t>
              </a:fld>
              <a:endParaRPr lang="pt-BR" sz="3600">
                <a:solidFill>
                  <a:srgbClr val="2AE6B1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917A447E-BEBF-EC87-47C7-02396E41801D}"/>
                </a:ext>
              </a:extLst>
            </xdr:cNvPr>
            <xdr:cNvSpPr/>
          </xdr:nvSpPr>
          <xdr:spPr>
            <a:xfrm>
              <a:off x="2286000" y="1678782"/>
              <a:ext cx="3726656" cy="36909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</a:t>
              </a:r>
              <a:r>
                <a:rPr lang="pt-BR" sz="1100" b="1" baseline="0"/>
                <a:t> SUBSCRIPTIONS MINECRAFT SEASON PASS</a:t>
              </a:r>
              <a:endParaRPr lang="pt-BR" sz="1100" b="1"/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62A3893D-9B58-4BB4-95B3-661EC41BA0BF}"/>
              </a:ext>
            </a:extLst>
          </xdr:cNvPr>
          <xdr:cNvGrpSpPr/>
        </xdr:nvGrpSpPr>
        <xdr:grpSpPr>
          <a:xfrm>
            <a:off x="7346156" y="2143124"/>
            <a:ext cx="1214437" cy="654845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3EC950F3-0B57-E00E-33B1-61566DA4F6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5A9D9548-605B-3097-5E60-12A9884140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178592</xdr:colOff>
      <xdr:row>14</xdr:row>
      <xdr:rowOff>47626</xdr:rowOff>
    </xdr:from>
    <xdr:to>
      <xdr:col>17</xdr:col>
      <xdr:colOff>404813</xdr:colOff>
      <xdr:row>31</xdr:row>
      <xdr:rowOff>59530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3223B80E-55DE-AB9D-3D73-C2F3D8EF18E1}"/>
            </a:ext>
          </a:extLst>
        </xdr:cNvPr>
        <xdr:cNvGrpSpPr/>
      </xdr:nvGrpSpPr>
      <xdr:grpSpPr>
        <a:xfrm>
          <a:off x="2250280" y="3357564"/>
          <a:ext cx="9167814" cy="3250404"/>
          <a:chOff x="2250280" y="3357564"/>
          <a:chExt cx="9227345" cy="3250404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3F83942C-899F-C36A-0840-52B3D2F7C0D0}"/>
              </a:ext>
            </a:extLst>
          </xdr:cNvPr>
          <xdr:cNvGrpSpPr/>
        </xdr:nvGrpSpPr>
        <xdr:grpSpPr>
          <a:xfrm>
            <a:off x="2274095" y="3488531"/>
            <a:ext cx="9203530" cy="3119437"/>
            <a:chOff x="2143171" y="1393031"/>
            <a:chExt cx="4619579" cy="2969419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CFD5F973-CA17-C322-4B87-6FCA6C8031E8}"/>
                </a:ext>
              </a:extLst>
            </xdr:cNvPr>
            <xdr:cNvSpPr/>
          </xdr:nvSpPr>
          <xdr:spPr>
            <a:xfrm>
              <a:off x="2143171" y="1393031"/>
              <a:ext cx="4613564" cy="2869405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F9DCDC70-0D9C-4C4B-85FB-C93612F95F59}"/>
                </a:ext>
              </a:extLst>
            </xdr:cNvPr>
            <xdr:cNvGraphicFramePr>
              <a:graphicFrameLocks/>
            </xdr:cNvGraphicFramePr>
          </xdr:nvGraphicFramePr>
          <xdr:xfrm>
            <a:off x="2440781" y="1619250"/>
            <a:ext cx="4321969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AB2F0C59-8BC3-46EF-BAE7-CE497D321DBA}"/>
              </a:ext>
            </a:extLst>
          </xdr:cNvPr>
          <xdr:cNvSpPr/>
        </xdr:nvSpPr>
        <xdr:spPr>
          <a:xfrm>
            <a:off x="2250280" y="3357564"/>
            <a:ext cx="9203377" cy="3690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XBOX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416719</xdr:colOff>
      <xdr:row>0</xdr:row>
      <xdr:rowOff>190500</xdr:rowOff>
    </xdr:from>
    <xdr:to>
      <xdr:col>0</xdr:col>
      <xdr:colOff>1112044</xdr:colOff>
      <xdr:row>2</xdr:row>
      <xdr:rowOff>40481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3103D161-88FD-4446-88AE-643B9CB6C6C6}"/>
            </a:ext>
          </a:extLst>
        </xdr:cNvPr>
        <xdr:cNvSpPr/>
      </xdr:nvSpPr>
      <xdr:spPr>
        <a:xfrm>
          <a:off x="416719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130969</xdr:colOff>
      <xdr:row>2</xdr:row>
      <xdr:rowOff>95250</xdr:rowOff>
    </xdr:from>
    <xdr:to>
      <xdr:col>0</xdr:col>
      <xdr:colOff>1666875</xdr:colOff>
      <xdr:row>2</xdr:row>
      <xdr:rowOff>369093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1F11AC85-B7F7-AC38-5DD2-B541907FFD5C}"/>
            </a:ext>
          </a:extLst>
        </xdr:cNvPr>
        <xdr:cNvSpPr/>
      </xdr:nvSpPr>
      <xdr:spPr>
        <a:xfrm>
          <a:off x="130969" y="940594"/>
          <a:ext cx="1535906" cy="2738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vinda, Liana</a:t>
          </a:r>
          <a:endParaRPr lang="pt-BR" sz="1100" b="1"/>
        </a:p>
      </xdr:txBody>
    </xdr:sp>
    <xdr:clientData/>
  </xdr:twoCellAnchor>
  <xdr:twoCellAnchor editAs="absolute">
    <xdr:from>
      <xdr:col>2</xdr:col>
      <xdr:colOff>9524</xdr:colOff>
      <xdr:row>3</xdr:row>
      <xdr:rowOff>9525</xdr:rowOff>
    </xdr:from>
    <xdr:to>
      <xdr:col>10</xdr:col>
      <xdr:colOff>119062</xdr:colOff>
      <xdr:row>5</xdr:row>
      <xdr:rowOff>71437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EE6EEA7-22BD-41A6-8209-366241AEE361}"/>
            </a:ext>
          </a:extLst>
        </xdr:cNvPr>
        <xdr:cNvSpPr/>
      </xdr:nvSpPr>
      <xdr:spPr>
        <a:xfrm>
          <a:off x="2081212" y="1307306"/>
          <a:ext cx="4967288" cy="264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 baseline="0">
              <a:solidFill>
                <a:schemeClr val="bg1">
                  <a:lumMod val="65000"/>
                </a:schemeClr>
              </a:solidFill>
            </a:rPr>
            <a:t>Calculation period: 01/01/2024 - 01/12/2024 | Update date: 25/12/2024 09:00:00</a:t>
          </a:r>
          <a:endParaRPr lang="pt-BR" sz="1100" b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con Douglas da Silva" refreshedDate="46314.013250231481" createdVersion="8" refreshedVersion="8" minRefreshableVersion="3" recordCount="295" xr:uid="{DE303C13-9398-4441-B86C-03CE1058551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050435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795B6-B5A5-4C6C-9E30-B6BFB7472810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323D-E4CC-45A4-AC96-64FC0E97282C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33697-EF93-4666-BD1D-BD83BAB04FE0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EDCC751-A58B-497C-BB6E-A7BBB66C275B}" sourceName="Subscription Type">
  <pivotTables>
    <pivotTable tabId="3" name="tbl_annual_total"/>
    <pivotTable tabId="3" name="tbl_easeasonpass_total"/>
    <pivotTable tabId="3" name="Tabela dinâmica4"/>
  </pivotTables>
  <data>
    <tabular pivotCacheId="100504352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6598203-478D-4610-A4FA-E037E98B60A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0:F36"/>
  <sheetViews>
    <sheetView showGridLines="0" topLeftCell="A19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0" spans="2:3" x14ac:dyDescent="0.25">
      <c r="B10" s="12" t="s">
        <v>16</v>
      </c>
      <c r="C10" t="s">
        <v>20</v>
      </c>
    </row>
    <row r="12" spans="2:3" x14ac:dyDescent="0.25">
      <c r="B12" s="12" t="s">
        <v>313</v>
      </c>
      <c r="C12" t="s">
        <v>315</v>
      </c>
    </row>
    <row r="13" spans="2:3" x14ac:dyDescent="0.25">
      <c r="B13" s="13" t="s">
        <v>23</v>
      </c>
      <c r="C13" s="14">
        <v>2824</v>
      </c>
    </row>
    <row r="14" spans="2:3" x14ac:dyDescent="0.25">
      <c r="B14" s="13" t="s">
        <v>19</v>
      </c>
      <c r="C14" s="14">
        <v>747</v>
      </c>
    </row>
    <row r="15" spans="2:3" x14ac:dyDescent="0.25">
      <c r="B15" s="13" t="s">
        <v>314</v>
      </c>
      <c r="C15" s="14">
        <v>3571</v>
      </c>
    </row>
    <row r="20" spans="2:6" x14ac:dyDescent="0.25">
      <c r="B20" s="12" t="s">
        <v>16</v>
      </c>
      <c r="C20" t="s">
        <v>20</v>
      </c>
    </row>
    <row r="22" spans="2:6" x14ac:dyDescent="0.25">
      <c r="B22" s="12" t="s">
        <v>313</v>
      </c>
      <c r="C22" t="s">
        <v>317</v>
      </c>
    </row>
    <row r="23" spans="2:6" x14ac:dyDescent="0.25">
      <c r="B23" s="13" t="s">
        <v>22</v>
      </c>
      <c r="C23" s="16">
        <v>0</v>
      </c>
    </row>
    <row r="24" spans="2:6" x14ac:dyDescent="0.25">
      <c r="B24" s="13" t="s">
        <v>26</v>
      </c>
      <c r="C24" s="16">
        <v>0</v>
      </c>
    </row>
    <row r="25" spans="2:6" x14ac:dyDescent="0.25">
      <c r="B25" s="13" t="s">
        <v>18</v>
      </c>
      <c r="C25" s="16">
        <v>1350</v>
      </c>
    </row>
    <row r="26" spans="2:6" x14ac:dyDescent="0.25">
      <c r="B26" s="13" t="s">
        <v>314</v>
      </c>
      <c r="C26" s="16">
        <v>1350</v>
      </c>
      <c r="F26" s="17">
        <f>GETPIVOTDATA("EA Play Season Pass
Price",$B$22)</f>
        <v>1350</v>
      </c>
    </row>
    <row r="30" spans="2:6" x14ac:dyDescent="0.25">
      <c r="B30" s="12" t="s">
        <v>16</v>
      </c>
      <c r="C30" t="s">
        <v>20</v>
      </c>
    </row>
    <row r="32" spans="2:6" x14ac:dyDescent="0.25">
      <c r="B32" s="12" t="s">
        <v>313</v>
      </c>
      <c r="C32" t="s">
        <v>318</v>
      </c>
    </row>
    <row r="33" spans="2:6" x14ac:dyDescent="0.25">
      <c r="B33" s="13" t="s">
        <v>22</v>
      </c>
      <c r="C33" s="14">
        <v>0</v>
      </c>
    </row>
    <row r="34" spans="2:6" x14ac:dyDescent="0.25">
      <c r="B34" s="13" t="s">
        <v>26</v>
      </c>
      <c r="C34" s="14">
        <v>900</v>
      </c>
    </row>
    <row r="35" spans="2:6" x14ac:dyDescent="0.25">
      <c r="B35" s="13" t="s">
        <v>18</v>
      </c>
      <c r="C35" s="14">
        <v>900</v>
      </c>
    </row>
    <row r="36" spans="2:6" x14ac:dyDescent="0.25">
      <c r="B36" s="13" t="s">
        <v>314</v>
      </c>
      <c r="C36" s="14">
        <v>1800</v>
      </c>
      <c r="F36" s="17">
        <f>GETPIVOTDATA("Minecraft Season Pass Price",$B$32)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136"/>
  <sheetViews>
    <sheetView showGridLines="0" showRowColHeaders="0" tabSelected="1" zoomScale="80" zoomScaleNormal="80" workbookViewId="0">
      <selection activeCell="J10" sqref="J10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1" spans="1:18" ht="30.75" customHeight="1" x14ac:dyDescent="0.25"/>
    <row r="2" spans="1:18" ht="35.25" customHeight="1" thickBot="1" x14ac:dyDescent="0.5">
      <c r="C2" s="19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8"/>
    </row>
    <row r="3" spans="1:18" ht="35.25" customHeight="1" thickTop="1" x14ac:dyDescent="0.25"/>
    <row r="4" spans="1:18" s="7" customFormat="1" ht="8.25" customHeight="1" x14ac:dyDescent="0.25">
      <c r="A4" s="4"/>
    </row>
    <row r="5" spans="1:18" s="7" customFormat="1" ht="7.5" customHeight="1" x14ac:dyDescent="0.25">
      <c r="A5" s="4"/>
    </row>
    <row r="6" spans="1:18" s="7" customFormat="1" ht="10.5" customHeight="1" x14ac:dyDescent="0.25">
      <c r="A6" s="4"/>
    </row>
    <row r="7" spans="1:18" s="7" customFormat="1" ht="9.75" customHeight="1" x14ac:dyDescent="0.25">
      <c r="A7" s="4"/>
    </row>
    <row r="8" spans="1:18" s="7" customFormat="1" ht="33" customHeigh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Maycon Douglas da Silva</cp:lastModifiedBy>
  <dcterms:created xsi:type="dcterms:W3CDTF">2024-12-19T13:13:10Z</dcterms:created>
  <dcterms:modified xsi:type="dcterms:W3CDTF">2026-10-19T05:08:17Z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